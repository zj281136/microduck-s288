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  <sheet name="Summary" sheetId="2" r:id="rId2"/>
  </sheets>
  <calcPr calcId="0" fullCalcOnLoad="1"/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r="A1" t="inlineStr">
        <is>
          <t>id</t>
        </is>
      </c>
      <c r="B1" t="inlineStr">
        <is>
          <t>category</t>
        </is>
      </c>
      <c r="C1" t="inlineStr">
        <is>
          <t>name</t>
        </is>
      </c>
      <c r="D1" t="inlineStr">
        <is>
          <t>model</t>
        </is>
      </c>
      <c r="E1" t="inlineStr">
        <is>
          <t>specification</t>
        </is>
      </c>
      <c r="F1" t="inlineStr">
        <is>
          <t>quantity</t>
        </is>
      </c>
      <c r="G1" t="inlineStr">
        <is>
          <t>unit_price</t>
        </is>
      </c>
      <c r="H1" t="inlineStr">
        <is>
          <t>subtotal</t>
        </is>
      </c>
      <c r="I1" t="inlineStr">
        <is>
          <t>purchase_url</t>
        </is>
      </c>
      <c r="J1" t="inlineStr">
        <is>
          <t>alternative_conditions</t>
        </is>
      </c>
      <c r="K1" t="inlineStr">
        <is>
          <t>required</t>
        </is>
      </c>
      <c r="L1" t="inlineStr">
        <is>
          <t>assembly_step</t>
        </is>
      </c>
      <c r="M1" t="inlineStr">
        <is>
          <t>notes</t>
        </is>
      </c>
      <c r="N1" t="inlineStr">
        <is>
          <t>currency</t>
        </is>
      </c>
      <c r="O1" t="inlineStr">
        <is>
          <t>price_date</t>
        </is>
      </c>
      <c r="P1" t="inlineStr">
        <is>
          <t>interface</t>
        </is>
      </c>
      <c r="Q1" t="inlineStr">
        <is>
          <t>cable_length</t>
        </is>
      </c>
      <c r="R1" t="inlineStr">
        <is>
          <t>solder_or_crimp</t>
        </is>
      </c>
      <c r="S1" t="inlineStr">
        <is>
          <t>evidence</t>
        </is>
      </c>
    </row>
    <row r="2">
      <c r="A2" t="inlineStr">
        <is>
          <t>M01</t>
        </is>
      </c>
      <c r="B2" t="inlineStr">
        <is>
          <t>actuator</t>
        </is>
      </c>
      <c r="C2" t="inlineStr">
        <is>
          <t>S288 motor</t>
        </is>
      </c>
      <c r="D2" t="inlineStr">
        <is>
          <t>S288</t>
        </is>
      </c>
      <c r="E2" t="inlineStr">
        <is>
          <t>full suffix/firmware TODO</t>
        </is>
      </c>
      <c r="F2">
        <v>14</v>
      </c>
      <c r="H2">
        <f>IF(AND(ISNUMBER(F2),ISNUMBER(G2)),F2*G2,"")</f>
      </c>
      <c r="K2" t="inlineStr">
        <is>
          <t>required</t>
        </is>
      </c>
      <c r="L2" t="inlineStr">
        <is>
          <t>legs/head</t>
        </is>
      </c>
      <c r="S2" t="inlineStr">
        <is>
          <t>code: 14 motor IDs</t>
        </is>
      </c>
    </row>
    <row r="3">
      <c r="A3" t="inlineStr">
        <is>
          <t>C01</t>
        </is>
      </c>
      <c r="B3" t="inlineStr">
        <is>
          <t>compute</t>
        </is>
      </c>
      <c r="C3" t="inlineStr">
        <is>
          <t>Raspberry Pi Zero 2 W</t>
        </is>
      </c>
      <c r="D3" t="inlineStr">
        <is>
          <t>Zero 2 W</t>
        </is>
      </c>
      <c r="F3">
        <v>1</v>
      </c>
      <c r="H3">
        <f>IF(AND(ISNUMBER(F3),ISNUMBER(G3)),F3*G3,"")</f>
      </c>
      <c r="K3" t="inlineStr">
        <is>
          <t>required</t>
        </is>
      </c>
      <c r="L3" t="inlineStr">
        <is>
          <t>body/head</t>
        </is>
      </c>
      <c r="S3" t="inlineStr">
        <is>
          <t>configuration; model payload18g</t>
        </is>
      </c>
    </row>
    <row r="4">
      <c r="A4" t="inlineStr">
        <is>
          <t>C02</t>
        </is>
      </c>
      <c r="B4" t="inlineStr">
        <is>
          <t>communication</t>
        </is>
      </c>
      <c r="C4" t="inlineStr">
        <is>
          <t>USB motor bus controller</t>
        </is>
      </c>
      <c r="E4" t="inlineStr">
        <is>
          <t>6Mbps protocol; board model/firmware TODO</t>
        </is>
      </c>
      <c r="F4">
        <v>1</v>
      </c>
      <c r="H4">
        <f>IF(AND(ISNUMBER(F4),ISNUMBER(G4)),F4*G4,"")</f>
      </c>
      <c r="K4" t="inlineStr">
        <is>
          <t>required</t>
        </is>
      </c>
      <c r="L4" t="inlineStr">
        <is>
          <t>wiring</t>
        </is>
      </c>
      <c r="P4" t="inlineStr">
        <is>
          <t>USB / motor bus: pinout TODO</t>
        </is>
      </c>
      <c r="S4" t="inlineStr">
        <is>
          <t>driver source; physical model TODO</t>
        </is>
      </c>
    </row>
    <row r="5">
      <c r="A5" t="inlineStr">
        <is>
          <t>I01</t>
        </is>
      </c>
      <c r="B5" t="inlineStr">
        <is>
          <t>sensor</t>
        </is>
      </c>
      <c r="C5" t="inlineStr">
        <is>
          <t>IMU module</t>
        </is>
      </c>
      <c r="D5" t="inlineStr">
        <is>
          <t>LSM6DSV16X</t>
        </is>
      </c>
      <c r="E5" t="inlineStr">
        <is>
          <t>I2C; reference address0x6a</t>
        </is>
      </c>
      <c r="F5">
        <v>1</v>
      </c>
      <c r="H5">
        <f>IF(AND(ISNUMBER(F5),ISNUMBER(G5)),F5*G5,"")</f>
      </c>
      <c r="K5" t="inlineStr">
        <is>
          <t>required</t>
        </is>
      </c>
      <c r="L5" t="inlineStr">
        <is>
          <t>IMU</t>
        </is>
      </c>
      <c r="P5" t="inlineStr">
        <is>
          <t>I2C; board voltage/pinout TODO</t>
        </is>
      </c>
      <c r="S5" t="inlineStr">
        <is>
          <t>driver configuration</t>
        </is>
      </c>
    </row>
    <row r="6">
      <c r="A6" t="inlineStr">
        <is>
          <t>P01</t>
        </is>
      </c>
      <c r="B6" t="inlineStr">
        <is>
          <t>power</t>
        </is>
      </c>
      <c r="C6" t="inlineStr">
        <is>
          <t>Battery</t>
        </is>
      </c>
      <c r="E6" t="inlineStr">
        <is>
          <t>model155g; recorded24x31x73mm; electrical rating TODO</t>
        </is>
      </c>
      <c r="F6">
        <v>1</v>
      </c>
      <c r="H6">
        <f>IF(AND(ISNUMBER(F6),ISNUMBER(G6)),F6*G6,"")</f>
      </c>
      <c r="K6" t="inlineStr">
        <is>
          <t>required</t>
        </is>
      </c>
      <c r="L6" t="inlineStr">
        <is>
          <t>power</t>
        </is>
      </c>
      <c r="S6" t="inlineStr">
        <is>
          <t>weight record/configuration</t>
        </is>
      </c>
    </row>
    <row r="7">
      <c r="A7" t="inlineStr">
        <is>
          <t>P02</t>
        </is>
      </c>
      <c r="B7" t="inlineStr">
        <is>
          <t>power</t>
        </is>
      </c>
      <c r="C7" t="inlineStr">
        <is>
          <t>Bench supply</t>
        </is>
      </c>
      <c r="E7" t="inlineStr">
        <is>
          <t>reference operating12V; current rating TODO</t>
        </is>
      </c>
      <c r="F7">
        <v>1</v>
      </c>
      <c r="H7">
        <f>IF(AND(ISNUMBER(F7),ISNUMBER(G7)),F7*G7,"")</f>
      </c>
      <c r="K7" t="inlineStr">
        <is>
          <t>alternative</t>
        </is>
      </c>
      <c r="L7" t="inlineStr">
        <is>
          <t>power</t>
        </is>
      </c>
      <c r="M7" t="inlineStr">
        <is>
          <t>bench supply and battery are alternative power paths</t>
        </is>
      </c>
      <c r="S7" t="inlineStr">
        <is>
          <t>operating configuration; supply part TODO</t>
        </is>
      </c>
    </row>
    <row r="8">
      <c r="A8" t="inlineStr">
        <is>
          <t>P03</t>
        </is>
      </c>
      <c r="B8" t="inlineStr">
        <is>
          <t>power</t>
        </is>
      </c>
      <c r="C8" t="inlineStr">
        <is>
          <t>Pi power converter</t>
        </is>
      </c>
      <c r="E8" t="inlineStr">
        <is>
          <t>model/output/current TODO</t>
        </is>
      </c>
      <c r="H8">
        <f>IF(AND(ISNUMBER(F8),ISNUMBER(G8)),F8*G8,"")</f>
      </c>
      <c r="K8" t="inlineStr">
        <is>
          <t>required</t>
        </is>
      </c>
      <c r="L8" t="inlineStr">
        <is>
          <t>power</t>
        </is>
      </c>
      <c r="S8" t="inlineStr">
        <is>
          <t>TODO</t>
        </is>
      </c>
    </row>
    <row r="9">
      <c r="A9" t="inlineStr">
        <is>
          <t>P04</t>
        </is>
      </c>
      <c r="B9" t="inlineStr">
        <is>
          <t>protection</t>
        </is>
      </c>
      <c r="C9" t="inlineStr">
        <is>
          <t>Switch / fuse / emergency isolation</t>
        </is>
      </c>
      <c r="E9" t="inlineStr">
        <is>
          <t>rating and circuit TODO</t>
        </is>
      </c>
      <c r="H9">
        <f>IF(AND(ISNUMBER(F9),ISNUMBER(G9)),F9*G9,"")</f>
      </c>
      <c r="K9" t="inlineStr">
        <is>
          <t>required</t>
        </is>
      </c>
      <c r="L9" t="inlineStr">
        <is>
          <t>power</t>
        </is>
      </c>
      <c r="S9" t="inlineStr">
        <is>
          <t>TODO</t>
        </is>
      </c>
    </row>
    <row r="10">
      <c r="A10" t="inlineStr">
        <is>
          <t>W01</t>
        </is>
      </c>
      <c r="B10" t="inlineStr">
        <is>
          <t>cable</t>
        </is>
      </c>
      <c r="C10" t="inlineStr">
        <is>
          <t>Motor harness and connectors</t>
        </is>
      </c>
      <c r="E10" t="inlineStr">
        <is>
          <t>connector/length/branch topology TODO</t>
        </is>
      </c>
      <c r="H10">
        <f>IF(AND(ISNUMBER(F10),ISNUMBER(G10)),F10*G10,"")</f>
      </c>
      <c r="K10" t="inlineStr">
        <is>
          <t>required</t>
        </is>
      </c>
      <c r="L10" t="inlineStr">
        <is>
          <t>wiring</t>
        </is>
      </c>
      <c r="M10" t="inlineStr">
        <is>
          <t>off-the-shelf and solder-free status not yet verified</t>
        </is>
      </c>
      <c r="S10" t="inlineStr">
        <is>
          <t>TODO</t>
        </is>
      </c>
    </row>
    <row r="11">
      <c r="A11" t="inlineStr">
        <is>
          <t>W02</t>
        </is>
      </c>
      <c r="B11" t="inlineStr">
        <is>
          <t>cable</t>
        </is>
      </c>
      <c r="C11" t="inlineStr">
        <is>
          <t>USB cable</t>
        </is>
      </c>
      <c r="E11" t="inlineStr">
        <is>
          <t>controller connector and length TODO</t>
        </is>
      </c>
      <c r="F11">
        <v>1</v>
      </c>
      <c r="H11">
        <f>IF(AND(ISNUMBER(F11),ISNUMBER(G11)),F11*G11,"")</f>
      </c>
      <c r="K11" t="inlineStr">
        <is>
          <t>required</t>
        </is>
      </c>
      <c r="L11" t="inlineStr">
        <is>
          <t>controller</t>
        </is>
      </c>
      <c r="S11" t="inlineStr">
        <is>
          <t>TODO</t>
        </is>
      </c>
    </row>
    <row r="12">
      <c r="A12" t="inlineStr">
        <is>
          <t>W03</t>
        </is>
      </c>
      <c r="B12" t="inlineStr">
        <is>
          <t>cable</t>
        </is>
      </c>
      <c r="C12" t="inlineStr">
        <is>
          <t>I2C cable and adapters</t>
        </is>
      </c>
      <c r="E12" t="inlineStr">
        <is>
          <t>Pi/module pinout and voltage TODO</t>
        </is>
      </c>
      <c r="H12">
        <f>IF(AND(ISNUMBER(F12),ISNUMBER(G12)),F12*G12,"")</f>
      </c>
      <c r="K12" t="inlineStr">
        <is>
          <t>required</t>
        </is>
      </c>
      <c r="L12" t="inlineStr">
        <is>
          <t>IMU</t>
        </is>
      </c>
      <c r="S12" t="inlineStr">
        <is>
          <t>TODO</t>
        </is>
      </c>
    </row>
    <row r="13">
      <c r="A13" t="inlineStr">
        <is>
          <t>S01</t>
        </is>
      </c>
      <c r="B13" t="inlineStr">
        <is>
          <t>storage</t>
        </is>
      </c>
      <c r="C13" t="inlineStr">
        <is>
          <t>Pi storage card</t>
        </is>
      </c>
      <c r="E13" t="inlineStr">
        <is>
          <t>capacity/image TODO</t>
        </is>
      </c>
      <c r="F13">
        <v>1</v>
      </c>
      <c r="H13">
        <f>IF(AND(ISNUMBER(F13),ISNUMBER(G13)),F13*G13,"")</f>
      </c>
      <c r="K13" t="inlineStr">
        <is>
          <t>required</t>
        </is>
      </c>
      <c r="L13" t="inlineStr">
        <is>
          <t>software</t>
        </is>
      </c>
      <c r="S13" t="inlineStr">
        <is>
          <t>TODO</t>
        </is>
      </c>
    </row>
    <row r="14">
      <c r="A14" t="inlineStr">
        <is>
          <t>F01</t>
        </is>
      </c>
      <c r="B14" t="inlineStr">
        <is>
          <t>printed</t>
        </is>
      </c>
      <c r="C14" t="inlineStr">
        <is>
          <t>Original-head S288 print set</t>
        </is>
      </c>
      <c r="E14" t="inlineStr">
        <is>
          <t>print-ready revision/parts quantities TODO</t>
        </is>
      </c>
      <c r="F14">
        <v>1</v>
      </c>
      <c r="H14">
        <f>IF(AND(ISNUMBER(F14),ISNUMBER(G14)),F14*G14,"")</f>
      </c>
      <c r="K14" t="inlineStr">
        <is>
          <t>required</t>
        </is>
      </c>
      <c r="L14" t="inlineStr">
        <is>
          <t>mechanical</t>
        </is>
      </c>
      <c r="M14" t="inlineStr">
        <is>
          <t>simulation meshes are not a print-ready set</t>
        </is>
      </c>
      <c r="S14" t="inlineStr">
        <is>
          <t>TODO</t>
        </is>
      </c>
    </row>
    <row r="15">
      <c r="A15" t="inlineStr">
        <is>
          <t>B01</t>
        </is>
      </c>
      <c r="B15" t="inlineStr">
        <is>
          <t>fastener</t>
        </is>
      </c>
      <c r="C15" t="inlineStr">
        <is>
          <t>Foot screws</t>
        </is>
      </c>
      <c r="E15" t="inlineStr">
        <is>
          <t>diameter/length/head/thread TODO</t>
        </is>
      </c>
      <c r="F15">
        <v>6</v>
      </c>
      <c r="H15">
        <f>IF(AND(ISNUMBER(F15),ISNUMBER(G15)),F15*G15,"")</f>
      </c>
      <c r="K15" t="inlineStr">
        <is>
          <t>required</t>
        </is>
      </c>
      <c r="L15" t="inlineStr">
        <is>
          <t>feet</t>
        </is>
      </c>
      <c r="M15" t="inlineStr">
        <is>
          <t>quantity derived from weight record; reconcile against final CAD</t>
        </is>
      </c>
      <c r="S15" t="inlineStr">
        <is>
          <t>weight record; not a complete verified purchasing specification</t>
        </is>
      </c>
    </row>
    <row r="16">
      <c r="A16" t="inlineStr">
        <is>
          <t>B02</t>
        </is>
      </c>
      <c r="B16" t="inlineStr">
        <is>
          <t>fastener</t>
        </is>
      </c>
      <c r="C16" t="inlineStr">
        <is>
          <t>Lower-leg screws</t>
        </is>
      </c>
      <c r="E16" t="inlineStr">
        <is>
          <t>diameter/length/head/thread TODO</t>
        </is>
      </c>
      <c r="F16">
        <v>8</v>
      </c>
      <c r="H16">
        <f>IF(AND(ISNUMBER(F16),ISNUMBER(G16)),F16*G16,"")</f>
      </c>
      <c r="K16" t="inlineStr">
        <is>
          <t>required</t>
        </is>
      </c>
      <c r="L16" t="inlineStr">
        <is>
          <t>lower legs</t>
        </is>
      </c>
      <c r="M16" t="inlineStr">
        <is>
          <t>quantity derived from weight record; reconcile against final CAD</t>
        </is>
      </c>
      <c r="S16" t="inlineStr">
        <is>
          <t>weight record; not a complete verified purchasing specification</t>
        </is>
      </c>
    </row>
    <row r="17">
      <c r="A17" t="inlineStr">
        <is>
          <t>B03</t>
        </is>
      </c>
      <c r="B17" t="inlineStr">
        <is>
          <t>fastener</t>
        </is>
      </c>
      <c r="C17" t="inlineStr">
        <is>
          <t>Upper-leg screws</t>
        </is>
      </c>
      <c r="E17" t="inlineStr">
        <is>
          <t>diameter/length/head/thread TODO</t>
        </is>
      </c>
      <c r="F17">
        <v>16</v>
      </c>
      <c r="H17">
        <f>IF(AND(ISNUMBER(F17),ISNUMBER(G17)),F17*G17,"")</f>
      </c>
      <c r="K17" t="inlineStr">
        <is>
          <t>required</t>
        </is>
      </c>
      <c r="L17" t="inlineStr">
        <is>
          <t>upper legs</t>
        </is>
      </c>
      <c r="M17" t="inlineStr">
        <is>
          <t>quantity derived from weight record; reconcile against final CAD</t>
        </is>
      </c>
      <c r="S17" t="inlineStr">
        <is>
          <t>weight record; not a complete verified purchasing specification</t>
        </is>
      </c>
    </row>
    <row r="18">
      <c r="A18" t="inlineStr">
        <is>
          <t>B04</t>
        </is>
      </c>
      <c r="B18" t="inlineStr">
        <is>
          <t>fastener</t>
        </is>
      </c>
      <c r="C18" t="inlineStr">
        <is>
          <t>Trunk screws</t>
        </is>
      </c>
      <c r="E18" t="inlineStr">
        <is>
          <t>diameter/length/head/thread TODO</t>
        </is>
      </c>
      <c r="F18">
        <v>24</v>
      </c>
      <c r="H18">
        <f>IF(AND(ISNUMBER(F18),ISNUMBER(G18)),F18*G18,"")</f>
      </c>
      <c r="K18" t="inlineStr">
        <is>
          <t>required</t>
        </is>
      </c>
      <c r="L18" t="inlineStr">
        <is>
          <t>trunk</t>
        </is>
      </c>
      <c r="M18" t="inlineStr">
        <is>
          <t>quantity derived from weight record; reconcile against final CAD</t>
        </is>
      </c>
      <c r="S18" t="inlineStr">
        <is>
          <t>weight record; not a complete verified purchasing specification</t>
        </is>
      </c>
    </row>
    <row r="19">
      <c r="A19" t="inlineStr">
        <is>
          <t>B05</t>
        </is>
      </c>
      <c r="B19" t="inlineStr">
        <is>
          <t>fastener</t>
        </is>
      </c>
      <c r="C19" t="inlineStr">
        <is>
          <t>Neck screws</t>
        </is>
      </c>
      <c r="E19" t="inlineStr">
        <is>
          <t>diameter/length/head/thread TODO</t>
        </is>
      </c>
      <c r="F19">
        <v>12</v>
      </c>
      <c r="H19">
        <f>IF(AND(ISNUMBER(F19),ISNUMBER(G19)),F19*G19,"")</f>
      </c>
      <c r="K19" t="inlineStr">
        <is>
          <t>required</t>
        </is>
      </c>
      <c r="L19" t="inlineStr">
        <is>
          <t>neck</t>
        </is>
      </c>
      <c r="M19" t="inlineStr">
        <is>
          <t>quantity derived from weight record; reconcile against final CAD</t>
        </is>
      </c>
      <c r="S19" t="inlineStr">
        <is>
          <t>weight record; not a complete verified purchasing specification</t>
        </is>
      </c>
    </row>
    <row r="20">
      <c r="A20" t="inlineStr">
        <is>
          <t>B06</t>
        </is>
      </c>
      <c r="B20" t="inlineStr">
        <is>
          <t>fastener</t>
        </is>
      </c>
      <c r="C20" t="inlineStr">
        <is>
          <t>Head screws</t>
        </is>
      </c>
      <c r="E20" t="inlineStr">
        <is>
          <t>diameter/length/head/thread TODO</t>
        </is>
      </c>
      <c r="F20">
        <v>11</v>
      </c>
      <c r="H20">
        <f>IF(AND(ISNUMBER(F20),ISNUMBER(G20)),F20*G20,"")</f>
      </c>
      <c r="K20" t="inlineStr">
        <is>
          <t>required</t>
        </is>
      </c>
      <c r="L20" t="inlineStr">
        <is>
          <t>head</t>
        </is>
      </c>
      <c r="M20" t="inlineStr">
        <is>
          <t>quantity derived from weight record; reconcile against final CAD</t>
        </is>
      </c>
      <c r="S20" t="inlineStr">
        <is>
          <t>weight record; not a complete verified purchasing specification</t>
        </is>
      </c>
    </row>
    <row r="21">
      <c r="A21" t="inlineStr">
        <is>
          <t>B07</t>
        </is>
      </c>
      <c r="B21" t="inlineStr">
        <is>
          <t>mechanical</t>
        </is>
      </c>
      <c r="C21" t="inlineStr">
        <is>
          <t>Bearings / inserts / nuts / washers</t>
        </is>
      </c>
      <c r="E21" t="inlineStr">
        <is>
          <t>individual types/counts TODO</t>
        </is>
      </c>
      <c r="H21">
        <f>IF(AND(ISNUMBER(F21),ISNUMBER(G21)),F21*G21,"")</f>
      </c>
      <c r="K21" t="inlineStr">
        <is>
          <t>required</t>
        </is>
      </c>
      <c r="L21" t="inlineStr">
        <is>
          <t>mechanical</t>
        </is>
      </c>
      <c r="S21" t="inlineStr">
        <is>
          <t>TODO</t>
        </is>
      </c>
    </row>
    <row r="22">
      <c r="A22" t="inlineStr">
        <is>
          <t>T01</t>
        </is>
      </c>
      <c r="B22" t="inlineStr">
        <is>
          <t>tools</t>
        </is>
      </c>
      <c r="C22" t="inlineStr">
        <is>
          <t>Assembly tools</t>
        </is>
      </c>
      <c r="E22" t="inlineStr">
        <is>
          <t>driver sizes/measurement tools TODO</t>
        </is>
      </c>
      <c r="H22">
        <f>IF(AND(ISNUMBER(F22),ISNUMBER(G22)),F22*G22,"")</f>
      </c>
      <c r="K22" t="inlineStr">
        <is>
          <t>required</t>
        </is>
      </c>
      <c r="L22" t="inlineStr">
        <is>
          <t>assembly</t>
        </is>
      </c>
      <c r="S22" t="inlineStr">
        <is>
          <t>TODO</t>
        </is>
      </c>
    </row>
    <row r="23">
      <c r="A23" t="inlineStr">
        <is>
          <t>T02</t>
        </is>
      </c>
      <c r="B23" t="inlineStr">
        <is>
          <t>consumable</t>
        </is>
      </c>
      <c r="C23" t="inlineStr">
        <is>
          <t>Printing / mounting consumables</t>
        </is>
      </c>
      <c r="E23" t="inlineStr">
        <is>
          <t>material/fixings TODO</t>
        </is>
      </c>
      <c r="H23">
        <f>IF(AND(ISNUMBER(F23),ISNUMBER(G23)),F23*G23,"")</f>
      </c>
      <c r="K23" t="inlineStr">
        <is>
          <t>required</t>
        </is>
      </c>
      <c r="L23" t="inlineStr">
        <is>
          <t>assembly</t>
        </is>
      </c>
      <c r="S23" t="inlineStr">
        <is>
          <t>TODO</t>
        </is>
      </c>
    </row>
    <row r="24">
      <c r="A24" t="inlineStr">
        <is>
          <t>T03</t>
        </is>
      </c>
      <c r="B24" t="inlineStr">
        <is>
          <t>fixture</t>
        </is>
      </c>
      <c r="C24" t="inlineStr">
        <is>
          <t>Robot support / fall-arrest fixture</t>
        </is>
      </c>
      <c r="E24" t="inlineStr">
        <is>
          <t>fixing and load capacity TODO</t>
        </is>
      </c>
      <c r="F24">
        <v>1</v>
      </c>
      <c r="H24">
        <f>IF(AND(ISNUMBER(F24),ISNUMBER(G24)),F24*G24,"")</f>
      </c>
      <c r="K24" t="inlineStr">
        <is>
          <t>required</t>
        </is>
      </c>
      <c r="L24" t="inlineStr">
        <is>
          <t>calibration/deployment</t>
        </is>
      </c>
      <c r="S24" t="inlineStr">
        <is>
          <t>TODO</t>
        </is>
      </c>
    </row>
    <row r="25">
      <c r="A25" t="inlineStr">
        <is>
          <t>O01</t>
        </is>
      </c>
      <c r="B25" t="inlineStr">
        <is>
          <t>spares</t>
        </is>
      </c>
      <c r="C25" t="inlineStr">
        <is>
          <t>Spare motor/harness</t>
        </is>
      </c>
      <c r="E25" t="inlineStr">
        <is>
          <t>compatible batch and connector TODO</t>
        </is>
      </c>
      <c r="H25">
        <f>IF(AND(ISNUMBER(F25),ISNUMBER(G25)),F25*G25,"")</f>
      </c>
      <c r="K25" t="inlineStr">
        <is>
          <t>optional</t>
        </is>
      </c>
      <c r="L25" t="inlineStr">
        <is>
          <t>maintenance</t>
        </is>
      </c>
      <c r="S25" t="inlineStr">
        <is>
          <t>TODO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Status</t>
        </is>
      </c>
      <c r="B2" t="inlineStr">
        <is>
          <t>Incomplete: quantities, prices, currency and specifications require verification</t>
        </is>
      </c>
    </row>
    <row r="3">
      <c r="A3" t="inlineStr">
        <is>
          <t>Filled subtotals</t>
        </is>
      </c>
      <c r="B3">
        <f>COUNT(BOM!H2:H25)</f>
      </c>
    </row>
    <row r="4">
      <c r="A4" t="inlineStr">
        <is>
          <t>All-line total (not a purchase recommendation)</t>
        </is>
      </c>
      <c r="B4">
        <f>IF(AND(COUNT(BOM!H2:H25)=ROWS(BOM!H2:H25),BOM!N2&lt;&gt;"",COUNTIF(BOM!N2:N25,BOM!N2)=ROWS(BOM!N2:N25),COUNTA(BOM!O2:O25)=ROWS(BOM!O2:O25)),SUM(BOM!H2:H25),"TODO: incomplete prices/quantities/currency/dates")</f>
      </c>
    </row>
    <row r="5">
      <c r="A5" t="inlineStr">
        <is>
          <t>Pricing note</t>
        </is>
      </c>
      <c r="B5" t="inlineStr">
        <is>
          <t>All line currencies must be non-empty and identical; price_date must be filled.</t>
        </is>
      </c>
    </row>
    <row r="6">
      <c r="A6" t="inlineStr">
        <is>
          <t>Missing value rule</t>
        </is>
      </c>
      <c r="B6" t="inlineStr">
        <is>
          <t>Blank input is unknown, not zero cost. Optional/alternative rows must be selected consistently before quoting.</t>
        </is>
      </c>
    </row>
  </sheetData>
</worksheet>
</file>